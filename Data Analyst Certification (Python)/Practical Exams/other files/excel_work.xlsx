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ja\Downloads\"/>
    </mc:Choice>
  </mc:AlternateContent>
  <xr:revisionPtr revIDLastSave="0" documentId="13_ncr:1_{910FE8AC-53E6-4C5B-9A33-F453FB9008D3}" xr6:coauthVersionLast="47" xr6:coauthVersionMax="47" xr10:uidLastSave="{00000000-0000-0000-0000-000000000000}"/>
  <bookViews>
    <workbookView xWindow="-110" yWindow="-110" windowWidth="19420" windowHeight="11020" xr2:uid="{50D15134-8D2B-4A72-8F6C-B09D72C9D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6" i="1"/>
  <c r="H37" i="1"/>
  <c r="H38" i="1"/>
  <c r="H36" i="1"/>
  <c r="I30" i="1"/>
  <c r="I31" i="1"/>
  <c r="I29" i="1"/>
  <c r="H30" i="1"/>
  <c r="H31" i="1"/>
  <c r="H29" i="1"/>
  <c r="E16" i="1"/>
  <c r="I39" i="1" l="1"/>
  <c r="I32" i="1"/>
  <c r="E39" i="1"/>
  <c r="E32" i="1"/>
  <c r="E25" i="1"/>
  <c r="F38" i="1"/>
  <c r="F37" i="1"/>
  <c r="F36" i="1"/>
  <c r="F31" i="1"/>
  <c r="F30" i="1"/>
  <c r="F29" i="1"/>
  <c r="F24" i="1"/>
  <c r="H24" i="1" s="1"/>
  <c r="I24" i="1" s="1"/>
  <c r="F23" i="1"/>
  <c r="H23" i="1" s="1"/>
  <c r="I23" i="1" s="1"/>
  <c r="F22" i="1"/>
  <c r="H22" i="1" s="1"/>
  <c r="I22" i="1" s="1"/>
  <c r="F5" i="1"/>
  <c r="F6" i="1"/>
  <c r="F4" i="1"/>
  <c r="F14" i="1"/>
  <c r="H14" i="1" s="1"/>
  <c r="I14" i="1" s="1"/>
  <c r="F15" i="1"/>
  <c r="H15" i="1" s="1"/>
  <c r="I15" i="1" s="1"/>
  <c r="F13" i="1"/>
  <c r="H13" i="1" s="1"/>
  <c r="I13" i="1" s="1"/>
  <c r="I25" i="1" l="1"/>
  <c r="I16" i="1"/>
  <c r="L31" i="1"/>
  <c r="L37" i="1"/>
  <c r="L23" i="1"/>
  <c r="L36" i="1"/>
  <c r="L38" i="1"/>
  <c r="L24" i="1"/>
  <c r="L30" i="1"/>
  <c r="L22" i="1"/>
  <c r="H25" i="1"/>
  <c r="L29" i="1"/>
  <c r="L32" i="1" s="1"/>
  <c r="L13" i="1"/>
  <c r="L14" i="1"/>
  <c r="L15" i="1"/>
  <c r="F16" i="1"/>
  <c r="F25" i="1"/>
  <c r="F32" i="1"/>
  <c r="F39" i="1"/>
  <c r="L25" i="1" l="1"/>
  <c r="L39" i="1"/>
  <c r="H39" i="1"/>
  <c r="L16" i="1"/>
  <c r="H32" i="1"/>
  <c r="H16" i="1"/>
</calcChain>
</file>

<file path=xl/sharedStrings.xml><?xml version="1.0" encoding="utf-8"?>
<sst xmlns="http://schemas.openxmlformats.org/spreadsheetml/2006/main" count="67" uniqueCount="24">
  <si>
    <t>rev_eff ($/hr)</t>
  </si>
  <si>
    <t>Sales method</t>
  </si>
  <si>
    <t>Email</t>
  </si>
  <si>
    <t>Email + Call</t>
  </si>
  <si>
    <t>Call</t>
  </si>
  <si>
    <t>rev_eff ($/min)</t>
  </si>
  <si>
    <t>W6 Splits (% customers)</t>
  </si>
  <si>
    <t>W6 Splits (hrs/week)</t>
  </si>
  <si>
    <t>--&gt;</t>
  </si>
  <si>
    <t>revenue ($/wk)</t>
  </si>
  <si>
    <t>Consider 1 team member has 6 hr/day (30 hr/week) to contact customers. Using the sales-method splits in the sixth week:</t>
  </si>
  <si>
    <t>Wkly Splits (% customers)</t>
  </si>
  <si>
    <t>Wkly Splits (hrs/week)</t>
  </si>
  <si>
    <t>From data in sixth week</t>
  </si>
  <si>
    <t>1A</t>
  </si>
  <si>
    <t>1B</t>
  </si>
  <si>
    <t>1C</t>
  </si>
  <si>
    <t>TOTALS</t>
  </si>
  <si>
    <t>Tinker with the sales-method splits based off of data from the sixth week</t>
  </si>
  <si>
    <t>Typical min/cust</t>
  </si>
  <si>
    <t># cust contacted (wk)</t>
  </si>
  <si>
    <t>*assumes that each customer contacted makes a purchase</t>
  </si>
  <si>
    <t># cust contacted (day)</t>
  </si>
  <si>
    <t>Typical hr/cust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</si>
</sst>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i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 applyAlignment="1">
      <alignment horizontal="center"/>
    </xf>
    <xf numFmtId="44" fontId="0" fillId="0" borderId="0" xfId="1" applyFont="1"/>
    <xf numFmtId="44" fontId="2" fillId="0" borderId="0" xfId="1" applyFont="1"/>
    <xf numFmtId="0" fontId="0" fillId="0" borderId="1" xfId="0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9563-8379-46FC-ADF8-0FAFD9B49AAD}">
  <dimension ref="B2:L39"/>
  <sheetViews>
    <sheetView tabSelected="1" topLeftCell="A13" zoomScale="75" zoomScaleNormal="80" workbookViewId="0">
      <selection activeCell="H22" sqref="H22"/>
    </sheetView>
  </sheetViews>
  <sheetFormatPr defaultRowHeight="14.5" x14ac:dyDescent="0.35"/>
  <cols>
    <col min="4" max="4" width="11.83203125" bestFit="1" customWidth="1"/>
    <col min="5" max="5" width="21" bestFit="1" customWidth="1"/>
    <col min="6" max="6" width="17.9140625" bestFit="1" customWidth="1"/>
    <col min="7" max="7" width="14.33203125" customWidth="1"/>
    <col min="8" max="8" width="18.33203125" bestFit="1" customWidth="1"/>
    <col min="9" max="9" width="19.4140625" bestFit="1" customWidth="1"/>
    <col min="10" max="10" width="11.4140625" bestFit="1" customWidth="1"/>
    <col min="11" max="11" width="10.58203125" bestFit="1" customWidth="1"/>
    <col min="12" max="12" width="13.08203125" bestFit="1" customWidth="1"/>
  </cols>
  <sheetData>
    <row r="2" spans="2:12" x14ac:dyDescent="0.35">
      <c r="C2" s="2" t="s">
        <v>13</v>
      </c>
    </row>
    <row r="3" spans="2:12" x14ac:dyDescent="0.35">
      <c r="D3" s="1" t="s">
        <v>1</v>
      </c>
      <c r="E3" s="1" t="s">
        <v>19</v>
      </c>
      <c r="F3" s="1" t="s">
        <v>23</v>
      </c>
      <c r="G3" s="1" t="s">
        <v>5</v>
      </c>
      <c r="H3" s="1" t="s">
        <v>0</v>
      </c>
      <c r="I3" s="1"/>
    </row>
    <row r="4" spans="2:12" x14ac:dyDescent="0.35">
      <c r="D4" t="s">
        <v>2</v>
      </c>
      <c r="E4">
        <v>3</v>
      </c>
      <c r="F4">
        <f>E4/60</f>
        <v>0.05</v>
      </c>
      <c r="G4">
        <v>43.29</v>
      </c>
      <c r="H4">
        <v>2597.4</v>
      </c>
    </row>
    <row r="5" spans="2:12" x14ac:dyDescent="0.35">
      <c r="D5" t="s">
        <v>3</v>
      </c>
      <c r="E5">
        <v>13</v>
      </c>
      <c r="F5">
        <f t="shared" ref="F5:F6" si="0">E5/60</f>
        <v>0.21666666666666667</v>
      </c>
      <c r="G5">
        <v>17.445</v>
      </c>
      <c r="H5">
        <v>1046.723</v>
      </c>
    </row>
    <row r="6" spans="2:12" x14ac:dyDescent="0.35">
      <c r="D6" t="s">
        <v>4</v>
      </c>
      <c r="E6">
        <v>30</v>
      </c>
      <c r="F6">
        <f t="shared" si="0"/>
        <v>0.5</v>
      </c>
      <c r="G6">
        <v>2.202</v>
      </c>
      <c r="H6">
        <v>132.13999999999999</v>
      </c>
    </row>
    <row r="9" spans="2:12" x14ac:dyDescent="0.35">
      <c r="B9" t="s">
        <v>21</v>
      </c>
    </row>
    <row r="11" spans="2:12" x14ac:dyDescent="0.35">
      <c r="C11" s="2" t="s">
        <v>10</v>
      </c>
    </row>
    <row r="12" spans="2:12" x14ac:dyDescent="0.35">
      <c r="D12" s="1" t="s">
        <v>1</v>
      </c>
      <c r="E12" s="1" t="s">
        <v>6</v>
      </c>
      <c r="F12" s="1" t="s">
        <v>7</v>
      </c>
      <c r="G12" s="1" t="s">
        <v>19</v>
      </c>
      <c r="H12" s="1" t="s">
        <v>20</v>
      </c>
      <c r="I12" s="1" t="s">
        <v>22</v>
      </c>
      <c r="J12" s="1" t="s">
        <v>0</v>
      </c>
      <c r="K12" s="3" t="s">
        <v>8</v>
      </c>
      <c r="L12" s="1" t="s">
        <v>9</v>
      </c>
    </row>
    <row r="13" spans="2:12" x14ac:dyDescent="0.35">
      <c r="D13" t="s">
        <v>2</v>
      </c>
      <c r="E13">
        <v>0.16042300000000001</v>
      </c>
      <c r="F13">
        <f>E13*30</f>
        <v>4.8126899999999999</v>
      </c>
      <c r="G13">
        <v>3</v>
      </c>
      <c r="H13">
        <f>ROUNDDOWN((F13/G13)*60,0)</f>
        <v>96</v>
      </c>
      <c r="I13">
        <f>ROUNDDOWN(H13/5,0)</f>
        <v>19</v>
      </c>
      <c r="J13">
        <v>2597.4</v>
      </c>
      <c r="L13" s="4">
        <f>F13*J13</f>
        <v>12500.481006</v>
      </c>
    </row>
    <row r="14" spans="2:12" x14ac:dyDescent="0.35">
      <c r="D14" t="s">
        <v>3</v>
      </c>
      <c r="E14">
        <v>0.47475600000000001</v>
      </c>
      <c r="F14">
        <f t="shared" ref="F14:F15" si="1">E14*30</f>
        <v>14.24268</v>
      </c>
      <c r="G14">
        <v>13</v>
      </c>
      <c r="H14">
        <f t="shared" ref="H14:H15" si="2">ROUNDDOWN((F14/G14)*60,0)</f>
        <v>65</v>
      </c>
      <c r="I14">
        <f t="shared" ref="I14:I15" si="3">ROUNDDOWN(H14/5,0)</f>
        <v>13</v>
      </c>
      <c r="J14">
        <v>1046.723</v>
      </c>
      <c r="L14" s="4">
        <f>F14*J14</f>
        <v>14908.14073764</v>
      </c>
    </row>
    <row r="15" spans="2:12" x14ac:dyDescent="0.35">
      <c r="D15" s="6" t="s">
        <v>4</v>
      </c>
      <c r="E15" s="6">
        <v>0.36482100000000001</v>
      </c>
      <c r="F15" s="6">
        <f t="shared" si="1"/>
        <v>10.94463</v>
      </c>
      <c r="G15" s="6">
        <v>30</v>
      </c>
      <c r="H15" s="6">
        <f t="shared" si="2"/>
        <v>21</v>
      </c>
      <c r="I15" s="6">
        <f t="shared" si="3"/>
        <v>4</v>
      </c>
      <c r="J15" s="6">
        <v>132.13999999999999</v>
      </c>
      <c r="K15" s="6"/>
      <c r="L15" s="7">
        <f>F15*J15</f>
        <v>1446.2234081999998</v>
      </c>
    </row>
    <row r="16" spans="2:12" x14ac:dyDescent="0.35">
      <c r="D16" s="1" t="s">
        <v>17</v>
      </c>
      <c r="E16">
        <f>SUM(E13:E15)</f>
        <v>1</v>
      </c>
      <c r="F16">
        <f>SUM(F13:F15)</f>
        <v>30</v>
      </c>
      <c r="H16">
        <f>ROUNDDOWN(SUM(H13:H15),0)</f>
        <v>182</v>
      </c>
      <c r="I16">
        <f>ROUNDDOWN(SUM(I13:I15),0)</f>
        <v>36</v>
      </c>
      <c r="K16" s="1"/>
      <c r="L16" s="5">
        <f>SUM(L13:L15)</f>
        <v>28854.84515184</v>
      </c>
    </row>
    <row r="19" spans="3:12" x14ac:dyDescent="0.35">
      <c r="C19" s="2" t="s">
        <v>18</v>
      </c>
    </row>
    <row r="20" spans="3:12" x14ac:dyDescent="0.35">
      <c r="D20" s="1" t="s">
        <v>14</v>
      </c>
    </row>
    <row r="21" spans="3:12" x14ac:dyDescent="0.35">
      <c r="D21" s="1" t="s">
        <v>1</v>
      </c>
      <c r="E21" s="1" t="s">
        <v>11</v>
      </c>
      <c r="F21" s="1" t="s">
        <v>12</v>
      </c>
      <c r="G21" s="1" t="s">
        <v>19</v>
      </c>
      <c r="H21" s="1" t="s">
        <v>20</v>
      </c>
      <c r="I21" s="1" t="s">
        <v>22</v>
      </c>
      <c r="J21" s="1" t="s">
        <v>0</v>
      </c>
      <c r="K21" s="3" t="s">
        <v>8</v>
      </c>
      <c r="L21" s="1" t="s">
        <v>9</v>
      </c>
    </row>
    <row r="22" spans="3:12" x14ac:dyDescent="0.35">
      <c r="D22" t="s">
        <v>2</v>
      </c>
      <c r="E22">
        <v>0.5</v>
      </c>
      <c r="F22">
        <f>E22*30</f>
        <v>15</v>
      </c>
      <c r="G22">
        <v>3</v>
      </c>
      <c r="H22">
        <f>ROUNDDOWN((F22/G22)*60,0)</f>
        <v>300</v>
      </c>
      <c r="I22">
        <f>ROUNDDOWN(H22/5,0)</f>
        <v>60</v>
      </c>
      <c r="J22">
        <v>2597.4</v>
      </c>
      <c r="L22" s="4">
        <f>F22*J22</f>
        <v>38961</v>
      </c>
    </row>
    <row r="23" spans="3:12" x14ac:dyDescent="0.35">
      <c r="D23" t="s">
        <v>3</v>
      </c>
      <c r="E23">
        <v>0.45</v>
      </c>
      <c r="F23">
        <f t="shared" ref="F23:F24" si="4">E23*30</f>
        <v>13.5</v>
      </c>
      <c r="G23">
        <v>13</v>
      </c>
      <c r="H23">
        <f t="shared" ref="H23:H24" si="5">ROUNDDOWN((F23/G23)*60,0)</f>
        <v>62</v>
      </c>
      <c r="I23">
        <f t="shared" ref="I23:I24" si="6">ROUNDDOWN(H23/5,0)</f>
        <v>12</v>
      </c>
      <c r="J23">
        <v>1046.723</v>
      </c>
      <c r="L23" s="4">
        <f t="shared" ref="L23:L24" si="7">F23*J23</f>
        <v>14130.7605</v>
      </c>
    </row>
    <row r="24" spans="3:12" x14ac:dyDescent="0.35">
      <c r="D24" s="6" t="s">
        <v>4</v>
      </c>
      <c r="E24" s="6">
        <v>0.05</v>
      </c>
      <c r="F24" s="6">
        <f t="shared" si="4"/>
        <v>1.5</v>
      </c>
      <c r="G24" s="6">
        <v>30</v>
      </c>
      <c r="H24" s="6">
        <f t="shared" si="5"/>
        <v>3</v>
      </c>
      <c r="I24" s="6">
        <f t="shared" si="6"/>
        <v>0</v>
      </c>
      <c r="J24" s="6">
        <v>132.13999999999999</v>
      </c>
      <c r="K24" s="6"/>
      <c r="L24" s="7">
        <f t="shared" si="7"/>
        <v>198.20999999999998</v>
      </c>
    </row>
    <row r="25" spans="3:12" x14ac:dyDescent="0.35">
      <c r="D25" s="1" t="s">
        <v>17</v>
      </c>
      <c r="E25">
        <f>SUM(E22:E24)</f>
        <v>1</v>
      </c>
      <c r="F25">
        <f>SUM(F22:F24)</f>
        <v>30</v>
      </c>
      <c r="H25">
        <f>ROUNDDOWN(SUM(H22:H24),0)</f>
        <v>365</v>
      </c>
      <c r="I25">
        <f>ROUNDDOWN(SUM(I22:I24),0)</f>
        <v>72</v>
      </c>
      <c r="K25" s="1"/>
      <c r="L25" s="5">
        <f>SUM(L22:L24)</f>
        <v>53289.970500000003</v>
      </c>
    </row>
    <row r="27" spans="3:12" x14ac:dyDescent="0.35">
      <c r="D27" s="1" t="s">
        <v>15</v>
      </c>
    </row>
    <row r="28" spans="3:12" x14ac:dyDescent="0.35">
      <c r="D28" s="1" t="s">
        <v>1</v>
      </c>
      <c r="E28" s="1" t="s">
        <v>11</v>
      </c>
      <c r="F28" s="1" t="s">
        <v>12</v>
      </c>
      <c r="G28" s="1" t="s">
        <v>19</v>
      </c>
      <c r="H28" s="1" t="s">
        <v>20</v>
      </c>
      <c r="I28" s="1" t="s">
        <v>22</v>
      </c>
      <c r="J28" s="1" t="s">
        <v>0</v>
      </c>
      <c r="K28" s="3" t="s">
        <v>8</v>
      </c>
      <c r="L28" s="1" t="s">
        <v>9</v>
      </c>
    </row>
    <row r="29" spans="3:12" x14ac:dyDescent="0.35">
      <c r="D29" t="s">
        <v>2</v>
      </c>
      <c r="E29">
        <v>0.7</v>
      </c>
      <c r="F29">
        <f>E29*30</f>
        <v>21</v>
      </c>
      <c r="G29">
        <v>3</v>
      </c>
      <c r="H29">
        <f>ROUNDDOWN((F29/G29)*60,0)</f>
        <v>420</v>
      </c>
      <c r="I29">
        <f>ROUNDDOWN(H29/5,0)</f>
        <v>84</v>
      </c>
      <c r="J29">
        <v>2597.4</v>
      </c>
      <c r="L29" s="4">
        <f>F29*J29</f>
        <v>54545.4</v>
      </c>
    </row>
    <row r="30" spans="3:12" x14ac:dyDescent="0.35">
      <c r="D30" t="s">
        <v>3</v>
      </c>
      <c r="E30">
        <v>0.25</v>
      </c>
      <c r="F30">
        <f t="shared" ref="F30:F31" si="8">E30*30</f>
        <v>7.5</v>
      </c>
      <c r="G30">
        <v>13</v>
      </c>
      <c r="H30">
        <f t="shared" ref="H30:H31" si="9">ROUNDDOWN((F30/G30)*60,0)</f>
        <v>34</v>
      </c>
      <c r="I30">
        <f t="shared" ref="I30:I31" si="10">ROUNDDOWN(H30/5,0)</f>
        <v>6</v>
      </c>
      <c r="J30">
        <v>1046.723</v>
      </c>
      <c r="L30" s="4">
        <f t="shared" ref="L30:L31" si="11">F30*J30</f>
        <v>7850.4224999999997</v>
      </c>
    </row>
    <row r="31" spans="3:12" x14ac:dyDescent="0.35">
      <c r="D31" s="6" t="s">
        <v>4</v>
      </c>
      <c r="E31" s="6">
        <v>0.05</v>
      </c>
      <c r="F31" s="6">
        <f t="shared" si="8"/>
        <v>1.5</v>
      </c>
      <c r="G31" s="6">
        <v>30</v>
      </c>
      <c r="H31" s="6">
        <f t="shared" si="9"/>
        <v>3</v>
      </c>
      <c r="I31" s="6">
        <f t="shared" si="10"/>
        <v>0</v>
      </c>
      <c r="J31" s="6">
        <v>132.13999999999999</v>
      </c>
      <c r="K31" s="6"/>
      <c r="L31" s="7">
        <f t="shared" si="11"/>
        <v>198.20999999999998</v>
      </c>
    </row>
    <row r="32" spans="3:12" x14ac:dyDescent="0.35">
      <c r="D32" s="1" t="s">
        <v>17</v>
      </c>
      <c r="E32">
        <f>SUM(E29:E31)</f>
        <v>1</v>
      </c>
      <c r="F32">
        <f>SUM(F29:F31)</f>
        <v>30</v>
      </c>
      <c r="H32">
        <f>ROUNDDOWN(SUM(H29:H31),0)</f>
        <v>457</v>
      </c>
      <c r="I32">
        <f>ROUNDDOWN(SUM(I29:I31),0)</f>
        <v>90</v>
      </c>
      <c r="K32" s="1"/>
      <c r="L32" s="5">
        <f>SUM(L29:L31)</f>
        <v>62594.032500000001</v>
      </c>
    </row>
    <row r="34" spans="4:12" x14ac:dyDescent="0.35">
      <c r="D34" s="1" t="s">
        <v>16</v>
      </c>
    </row>
    <row r="35" spans="4:12" x14ac:dyDescent="0.35">
      <c r="D35" s="1" t="s">
        <v>1</v>
      </c>
      <c r="E35" s="1" t="s">
        <v>11</v>
      </c>
      <c r="F35" s="1" t="s">
        <v>12</v>
      </c>
      <c r="G35" s="1" t="s">
        <v>19</v>
      </c>
      <c r="H35" s="1" t="s">
        <v>20</v>
      </c>
      <c r="I35" s="1" t="s">
        <v>22</v>
      </c>
      <c r="J35" s="1" t="s">
        <v>0</v>
      </c>
      <c r="K35" s="3" t="s">
        <v>8</v>
      </c>
      <c r="L35" s="1" t="s">
        <v>9</v>
      </c>
    </row>
    <row r="36" spans="4:12" x14ac:dyDescent="0.35">
      <c r="D36" t="s">
        <v>2</v>
      </c>
      <c r="E36">
        <v>0.85</v>
      </c>
      <c r="F36">
        <f>E36*30</f>
        <v>25.5</v>
      </c>
      <c r="G36">
        <v>3</v>
      </c>
      <c r="H36">
        <f>ROUNDDOWN((F36/G36)*60,0)</f>
        <v>510</v>
      </c>
      <c r="I36">
        <f>ROUNDDOWN(H36/5,0)</f>
        <v>102</v>
      </c>
      <c r="J36">
        <v>2597.4</v>
      </c>
      <c r="L36" s="4">
        <f>F36*J36</f>
        <v>66233.7</v>
      </c>
    </row>
    <row r="37" spans="4:12" x14ac:dyDescent="0.35">
      <c r="D37" t="s">
        <v>3</v>
      </c>
      <c r="E37">
        <v>0.1</v>
      </c>
      <c r="F37">
        <f t="shared" ref="F37:F38" si="12">E37*30</f>
        <v>3</v>
      </c>
      <c r="G37">
        <v>13</v>
      </c>
      <c r="H37">
        <f t="shared" ref="H37:H38" si="13">ROUNDDOWN((F37/G37)*60,0)</f>
        <v>13</v>
      </c>
      <c r="I37">
        <f t="shared" ref="I37:I38" si="14">ROUNDDOWN(H37/5,0)</f>
        <v>2</v>
      </c>
      <c r="J37">
        <v>1046.723</v>
      </c>
      <c r="L37" s="4">
        <f t="shared" ref="L37:L38" si="15">F37*J37</f>
        <v>3140.1689999999999</v>
      </c>
    </row>
    <row r="38" spans="4:12" x14ac:dyDescent="0.35">
      <c r="D38" s="6" t="s">
        <v>4</v>
      </c>
      <c r="E38" s="6">
        <v>0.05</v>
      </c>
      <c r="F38" s="6">
        <f t="shared" si="12"/>
        <v>1.5</v>
      </c>
      <c r="G38" s="6">
        <v>30</v>
      </c>
      <c r="H38" s="6">
        <f t="shared" si="13"/>
        <v>3</v>
      </c>
      <c r="I38" s="6">
        <f t="shared" si="14"/>
        <v>0</v>
      </c>
      <c r="J38" s="6">
        <v>132.13999999999999</v>
      </c>
      <c r="K38" s="6"/>
      <c r="L38" s="7">
        <f t="shared" si="15"/>
        <v>198.20999999999998</v>
      </c>
    </row>
    <row r="39" spans="4:12" x14ac:dyDescent="0.35">
      <c r="D39" s="1" t="s">
        <v>17</v>
      </c>
      <c r="E39">
        <f>SUM(E36:E38)</f>
        <v>1</v>
      </c>
      <c r="F39">
        <f>SUM(F36:F38)</f>
        <v>30</v>
      </c>
      <c r="H39">
        <f>ROUNDDOWN(SUM(H36:H38),0)</f>
        <v>526</v>
      </c>
      <c r="I39">
        <f>ROUNDDOWN(SUM(I36:I38),0)</f>
        <v>104</v>
      </c>
      <c r="K39" s="1"/>
      <c r="L39" s="5">
        <f>SUM(L36:L38)</f>
        <v>69572.078999999998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Shepherd</dc:creator>
  <cp:lastModifiedBy>Elijah Shepherd</cp:lastModifiedBy>
  <dcterms:created xsi:type="dcterms:W3CDTF">2025-11-07T21:45:42Z</dcterms:created>
  <dcterms:modified xsi:type="dcterms:W3CDTF">2025-11-12T21:55:58Z</dcterms:modified>
</cp:coreProperties>
</file>